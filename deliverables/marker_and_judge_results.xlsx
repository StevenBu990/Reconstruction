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line Summary (All Objects)" sheetId="1" state="visible" r:id="rId3"/>
    <sheet name="Summary" sheetId="2" state="visible" r:id="rId4"/>
    <sheet name="Marker Experiment" sheetId="3" state="visible" r:id="rId5"/>
    <sheet name="AI Judge Experimen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<sst xmlns="http://schemas.openxmlformats.org/spreadsheetml/2006/main" count="195" uniqueCount="91">
  <si>
    <t xml:space="preserve">Baseline Batch — Per-Object Summary (Mean, Min, Max, Std Dev, Std Error)</t>
  </si>
  <si>
    <t xml:space="preserve">N = number of fragments the object breaks into. Stats computed across all valid scored experiments (damage configs x views) per object. Automated objects (10): from aggregated_metrics.csv, excluding empty_gt_mask / empty_prediction / bad_alignment flagged rows. Manual objects (5: ramekin_cup, plate, mug, bowl, teapot): IoU uses the corrected 'No-SIFT' value where SIFT alignment failed (per the original experiment log's own convention, confirmed by matching the previously-reported means exactly); Dice is SIFT-based throughout since no alternative Dice value was recorded for those rows. ramekin_cup Dice is n=15 (one experiment had no Dice recorded).</t>
  </si>
  <si>
    <t xml:space="preserve">Object</t>
  </si>
  <si>
    <t xml:space="preserve">N (fragments)</t>
  </si>
  <si>
    <t xml:space="preserve"># Valid Experiments</t>
  </si>
  <si>
    <t xml:space="preserve">Mean IoU</t>
  </si>
  <si>
    <t xml:space="preserve">Min IoU</t>
  </si>
  <si>
    <t xml:space="preserve">Max IoU</t>
  </si>
  <si>
    <t xml:space="preserve">Std Dev IoU</t>
  </si>
  <si>
    <t xml:space="preserve">Std Error IoU</t>
  </si>
  <si>
    <t xml:space="preserve">Mean Dice</t>
  </si>
  <si>
    <t xml:space="preserve">Min Dice</t>
  </si>
  <si>
    <t xml:space="preserve">Max Dice</t>
  </si>
  <si>
    <t xml:space="preserve">Std Dev Dice</t>
  </si>
  <si>
    <t xml:space="preserve">Std Error Dice</t>
  </si>
  <si>
    <t xml:space="preserve">This Session — Marker
Config Tested</t>
  </si>
  <si>
    <t xml:space="preserve">This Session — Marker
Best IoU</t>
  </si>
  <si>
    <t xml:space="preserve">This Session — Marker
Δ vs Baseline</t>
  </si>
  <si>
    <t xml:space="preserve">This Session — AI Judge
Config Tested</t>
  </si>
  <si>
    <t xml:space="preserve">This Session — AI Judge
Best IoU</t>
  </si>
  <si>
    <t xml:space="preserve">This Session — AI Judge
Δ vs Baseline (front)</t>
  </si>
  <si>
    <t xml:space="preserve">ramekin_cup</t>
  </si>
  <si>
    <t xml:space="preserve">—</t>
  </si>
  <si>
    <t xml:space="preserve">wine_glass</t>
  </si>
  <si>
    <t xml:space="preserve">plate</t>
  </si>
  <si>
    <t xml:space="preserve">beer_bottle</t>
  </si>
  <si>
    <t xml:space="preserve">neck_severe</t>
  </si>
  <si>
    <t xml:space="preserve">wine_bottle</t>
  </si>
  <si>
    <t xml:space="preserve">neck_simple</t>
  </si>
  <si>
    <t xml:space="preserve">bottle</t>
  </si>
  <si>
    <t xml:space="preserve">mug</t>
  </si>
  <si>
    <t xml:space="preserve">pill_bottle</t>
  </si>
  <si>
    <t xml:space="preserve">body_severe</t>
  </si>
  <si>
    <t xml:space="preserve">bowl</t>
  </si>
  <si>
    <t xml:space="preserve">ring</t>
  </si>
  <si>
    <t xml:space="preserve">drink_bottle</t>
  </si>
  <si>
    <t xml:space="preserve">vase</t>
  </si>
  <si>
    <t xml:space="preserve">rim_severe</t>
  </si>
  <si>
    <t xml:space="preserve">teapot</t>
  </si>
  <si>
    <t xml:space="preserve">handle_simple</t>
  </si>
  <si>
    <t xml:space="preserve">spoon</t>
  </si>
  <si>
    <t xml:space="preserve">drinking_utensil</t>
  </si>
  <si>
    <t xml:space="preserve">New-work columns show this session's BEST result per object for each track (some objects had multiple configs tested — see 'Marker Experiment' and 'AI Judge Experiment' sheets for the full breakdown, including beer_bottle's two marker + two judge tests). '—' = not yet tested this session. wine_bottle's judge Δ is negative: the judge matched baseline's own default view rather than picking a different one, and a same-view rerun scored slightly lower — see AI Judge sheet notes for the reconstruction-variance finding behind that result.</t>
  </si>
  <si>
    <t xml:space="preserve">Manual-object alignment note: several experiments per object had a documented SIFT alignment failure (bowl: 3/16, mug: 1/16, plate: 7/16, ramekin_cup: 3/16, teapot: 1/16) where a corrected 'No-SIFT' IoU was manually computed instead. plate's high rate of alignment failures (44%) is notable and likely related to its low-texture, largely-flat geometry (limited SIFT keypoints) — similar in nature to the spoon low-texture alignment issue already documented for the automated batch.</t>
  </si>
  <si>
    <t xml:space="preserve">Fragment Repair Pipeline — Marker &amp; AI-Judge Experiment Results</t>
  </si>
  <si>
    <t xml:space="preserve">Reporting metrics: IoU and Dice only, per project convention. Reconstruction shows real run-to-run variance (see Notes sheet) — single comparisons are directional, not conclusive.</t>
  </si>
  <si>
    <t xml:space="preserve">Track</t>
  </si>
  <si>
    <t xml:space="preserve">Data points</t>
  </si>
  <si>
    <t xml:space="preserve">Wins vs baseline</t>
  </si>
  <si>
    <t xml:space="preserve">Notes</t>
  </si>
  <si>
    <t xml:space="preserve">Shape-marker (smooth_outline)</t>
  </si>
  <si>
    <t xml:space="preserve">6 / 6</t>
  </si>
  <si>
    <t xml:space="preserve">Consistent improvement across every clean test (beer_bottle x2, wine_bottle, pill_bottle, drink_bottle, teapot handle - teapot's is the largest relative gain of the track, nearly doubling baseline IoU)</t>
  </si>
  <si>
    <t xml:space="preserve">AI view judge</t>
  </si>
  <si>
    <t xml:space="preserve">1 clear win / 4 tests</t>
  </si>
  <si>
    <t xml:space="preserve">vase showed a substantial genuine win; others matched baseline's own view or were inconclusive due to reconstruction variance. Positional bias (judge favoring the first-shown image) is not yet ruled out — 3 of 4 tests picked view_0.</t>
  </si>
  <si>
    <t xml:space="preserve">Shape-Drawing Marker Experiment (smooth_outline) — Baseline vs Marker</t>
  </si>
  <si>
    <t xml:space="preserve">Damage Config</t>
  </si>
  <si>
    <t xml:space="preserve">View</t>
  </si>
  <si>
    <t xml:space="preserve">Baseline IoU</t>
  </si>
  <si>
    <t xml:space="preserve">Baseline Dice</t>
  </si>
  <si>
    <t xml:space="preserve">Marker IoU</t>
  </si>
  <si>
    <t xml:space="preserve">Marker Dice</t>
  </si>
  <si>
    <t xml:space="preserve">Δ IoU</t>
  </si>
  <si>
    <t xml:space="preserve">front</t>
  </si>
  <si>
    <t xml:space="preserve">not recorded</t>
  </si>
  <si>
    <t xml:space="preserve">view_1 (right)</t>
  </si>
  <si>
    <t xml:space="preserve">view1</t>
  </si>
  <si>
    <t xml:space="preserve">Dice not recorded for three earlier marker results (beer_bottle x2, wine_bottle neck_simple) — those sessions logged IoU only. pill_bottle and drink_bottle have full IoU+Dice from this session. All 'Marker IoU' values are the RAW (uncleaned) mask scores — see mask-extraction note below.</t>
  </si>
  <si>
    <t xml:space="preserve">Mask-extraction caveat: pill_bottle and drink_bottle masks both showed an 'edge-halo' artifact (alignment noise tracing a long object edge). A cleanup tool (mask_halo_diagnostic.py) was tested: it correctly fixed a similar issue on wine_bottle, but on drink_bottle it INCORRECTLY eroded part of the true fragment (cleaned IoU dropped from 0.517 to 0.413) and was discarded in favor of the raw score. IoU/Dice reported here are the trustworthy raw values in all cases.</t>
  </si>
  <si>
    <t xml:space="preserve">AI View Judge Experiment — Baseline vs Judge-Selected View</t>
  </si>
  <si>
    <t xml:space="preserve">Baseline View
(front)</t>
  </si>
  <si>
    <t xml:space="preserve">Baseline IoU
(front)</t>
  </si>
  <si>
    <t xml:space="preserve">Baseline Dice
(front)</t>
  </si>
  <si>
    <t xml:space="preserve">Best Baseline
IoU (any view)</t>
  </si>
  <si>
    <t xml:space="preserve">Judge
Chose</t>
  </si>
  <si>
    <t xml:space="preserve">Judge IoU</t>
  </si>
  <si>
    <t xml:space="preserve">Judge Dice</t>
  </si>
  <si>
    <t xml:space="preserve">Δ IoU vs
front</t>
  </si>
  <si>
    <t xml:space="preserve">view_2 (back)</t>
  </si>
  <si>
    <t xml:space="preserve">view_0 (front)</t>
  </si>
  <si>
    <t xml:space="preserve">Per-row notes:</t>
  </si>
  <si>
    <t xml:space="preserve">beer_bottle / neck_simple:</t>
  </si>
  <si>
    <t xml:space="preserve">Judge picked a genuinely different, better view than front.</t>
  </si>
  <si>
    <t xml:space="preserve">beer_bottle / neck_severe:</t>
  </si>
  <si>
    <t xml:space="preserve">IoU range 0.71-0.76 reported across checks; large centroid-distance anomaly flagged (not fully resolved) despite IoU looking fine.</t>
  </si>
  <si>
    <t xml:space="preserve">wine_bottle / neck_severe:</t>
  </si>
  <si>
    <t xml:space="preserve">Judge matched baseline's own default view — not a genuine judge-vs-baseline test. Also revealed ~0.09 IoU swing on repeated runs of the identical view (reconstruction variance), separate from judge choice.</t>
  </si>
  <si>
    <t xml:space="preserve">vase / rim_severe:</t>
  </si>
  <si>
    <t xml:space="preserve">Strongest result of this track: judge's pick beat even the best available baseline view. User independently visually confirmed view_0 was the clearest shot of the damage.</t>
  </si>
  <si>
    <t xml:space="preserve">IMPORTANT — positional bias not yet ruled out: 3 of 4 judge tests picked the first-shown candidate image (view_0). vase's pick was independently visually confirmed as genuinely the clearest view, so content-sensitivity is real, but this doesn't rule out bias stacking on top. A stronger future test would shuffle candidate image order and see if the judge still defaults to whichever is shown first.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</si>
</sst>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6" min="5" style="1" width="9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1" min="10" style="1" width="9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6"/>
    <col collapsed="false" customWidth="true" hidden="false" outlineLevel="0" max="16" min="15" style="1" width="12"/>
    <col collapsed="false" customWidth="true" hidden="false" outlineLevel="0" max="17" min="17" style="1" width="16"/>
    <col collapsed="false" customWidth="true" hidden="false" outlineLevel="0" max="18" min="18" style="1" width="12"/>
    <col collapsed="false" customWidth="true" hidden="false" outlineLevel="0" max="19" min="19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4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</row>
    <row r="5" customFormat="false" ht="23.25" hidden="false" customHeight="true" outlineLevel="0" collapsed="false">
      <c r="A5" s="6" t="s">
        <v>21</v>
      </c>
      <c r="B5" s="7" t="n">
        <v>16</v>
      </c>
      <c r="C5" s="7" t="n">
        <v>16</v>
      </c>
      <c r="D5" s="7" t="n">
        <v>0.777</v>
      </c>
      <c r="E5" s="7" t="n">
        <v>0.271</v>
      </c>
      <c r="F5" s="7" t="n">
        <v>0.975</v>
      </c>
      <c r="G5" s="7" t="n">
        <v>0.218</v>
      </c>
      <c r="H5" s="7" t="n">
        <v>0.054</v>
      </c>
      <c r="I5" s="7" t="n">
        <v>0.819</v>
      </c>
      <c r="J5" s="7" t="n">
        <v>0</v>
      </c>
      <c r="K5" s="7" t="n">
        <v>0.987</v>
      </c>
      <c r="L5" s="7" t="n">
        <v>0.273</v>
      </c>
      <c r="M5" s="7" t="n">
        <v>0.07</v>
      </c>
      <c r="N5" s="8" t="s">
        <v>22</v>
      </c>
      <c r="O5" s="8" t="s">
        <v>22</v>
      </c>
      <c r="P5" s="8" t="s">
        <v>22</v>
      </c>
      <c r="Q5" s="8" t="s">
        <v>22</v>
      </c>
      <c r="R5" s="8" t="s">
        <v>22</v>
      </c>
      <c r="S5" s="8" t="s">
        <v>22</v>
      </c>
    </row>
    <row r="6" customFormat="false" ht="15" hidden="false" customHeight="true" outlineLevel="0" collapsed="false">
      <c r="A6" s="6" t="s">
        <v>23</v>
      </c>
      <c r="B6" s="7" t="n">
        <v>12</v>
      </c>
      <c r="C6" s="7" t="n">
        <v>12</v>
      </c>
      <c r="D6" s="7" t="n">
        <v>0.776</v>
      </c>
      <c r="E6" s="7" t="n">
        <v>0.596</v>
      </c>
      <c r="F6" s="7" t="n">
        <v>0.91</v>
      </c>
      <c r="G6" s="7" t="n">
        <v>0.088</v>
      </c>
      <c r="H6" s="7" t="n">
        <v>0.025</v>
      </c>
      <c r="I6" s="7" t="n">
        <v>0.871</v>
      </c>
      <c r="J6" s="7" t="n">
        <v>0.747</v>
      </c>
      <c r="K6" s="7" t="n">
        <v>0.953</v>
      </c>
      <c r="L6" s="7" t="n">
        <v>0.057</v>
      </c>
      <c r="M6" s="7" t="n">
        <v>0.017</v>
      </c>
      <c r="N6" s="8" t="s">
        <v>22</v>
      </c>
      <c r="O6" s="8" t="s">
        <v>22</v>
      </c>
      <c r="P6" s="8" t="s">
        <v>22</v>
      </c>
      <c r="Q6" s="8" t="s">
        <v>22</v>
      </c>
      <c r="R6" s="8" t="s">
        <v>22</v>
      </c>
      <c r="S6" s="8" t="s">
        <v>22</v>
      </c>
    </row>
    <row r="7" customFormat="false" ht="23.25" hidden="false" customHeight="true" outlineLevel="0" collapsed="false">
      <c r="A7" s="6" t="s">
        <v>24</v>
      </c>
      <c r="B7" s="7" t="n">
        <v>16</v>
      </c>
      <c r="C7" s="7" t="n">
        <v>16</v>
      </c>
      <c r="D7" s="7" t="n">
        <v>0.76</v>
      </c>
      <c r="E7" s="7" t="n">
        <v>0.014</v>
      </c>
      <c r="F7" s="7" t="n">
        <v>0.971</v>
      </c>
      <c r="G7" s="7" t="n">
        <v>0.307</v>
      </c>
      <c r="H7" s="7" t="n">
        <v>0.077</v>
      </c>
      <c r="I7" s="7" t="n">
        <v>0.648</v>
      </c>
      <c r="J7" s="7" t="n">
        <v>0</v>
      </c>
      <c r="K7" s="7" t="n">
        <v>0.984</v>
      </c>
      <c r="L7" s="7" t="n">
        <v>0.365</v>
      </c>
      <c r="M7" s="7" t="n">
        <v>0.091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</row>
    <row r="8" customFormat="false" ht="15" hidden="false" customHeight="true" outlineLevel="0" collapsed="false">
      <c r="A8" s="6" t="s">
        <v>25</v>
      </c>
      <c r="B8" s="7" t="n">
        <v>13</v>
      </c>
      <c r="C8" s="7" t="n">
        <v>13</v>
      </c>
      <c r="D8" s="7" t="n">
        <v>0.688</v>
      </c>
      <c r="E8" s="7" t="n">
        <v>0.22</v>
      </c>
      <c r="F8" s="7" t="n">
        <v>0.942</v>
      </c>
      <c r="G8" s="7" t="n">
        <v>0.231</v>
      </c>
      <c r="H8" s="7" t="n">
        <v>0.064</v>
      </c>
      <c r="I8" s="7" t="n">
        <v>0.791</v>
      </c>
      <c r="J8" s="7" t="n">
        <v>0.361</v>
      </c>
      <c r="K8" s="7" t="n">
        <v>0.97</v>
      </c>
      <c r="L8" s="7" t="n">
        <v>0.189</v>
      </c>
      <c r="M8" s="7" t="n">
        <v>0.053</v>
      </c>
      <c r="N8" s="7" t="s">
        <v>26</v>
      </c>
      <c r="O8" s="9" t="n">
        <f aca="false">'Marker Experiment'!F6</f>
        <v>0.819</v>
      </c>
      <c r="P8" s="9" t="n">
        <f aca="false">'Marker Experiment'!F6-'Marker Experiment'!D6</f>
        <v>0.130016</v>
      </c>
      <c r="Q8" s="7" t="s">
        <v>26</v>
      </c>
      <c r="R8" s="9" t="n">
        <f aca="false">'AI Judge Experiment'!H5</f>
        <v>0.735</v>
      </c>
      <c r="S8" s="9" t="n">
        <f aca="false">'AI Judge Experiment'!H5-'AI Judge Experiment'!D5</f>
        <v>0.0460159999999999</v>
      </c>
    </row>
    <row r="9" customFormat="false" ht="15" hidden="false" customHeight="true" outlineLevel="0" collapsed="false">
      <c r="A9" s="6" t="s">
        <v>27</v>
      </c>
      <c r="B9" s="7" t="n">
        <v>14</v>
      </c>
      <c r="C9" s="7" t="n">
        <v>14</v>
      </c>
      <c r="D9" s="7" t="n">
        <v>0.633</v>
      </c>
      <c r="E9" s="7" t="n">
        <v>0</v>
      </c>
      <c r="F9" s="7" t="n">
        <v>0.929</v>
      </c>
      <c r="G9" s="7" t="n">
        <v>0.246</v>
      </c>
      <c r="H9" s="7" t="n">
        <v>0.066</v>
      </c>
      <c r="I9" s="7" t="n">
        <v>0.741</v>
      </c>
      <c r="J9" s="7" t="n">
        <v>0</v>
      </c>
      <c r="K9" s="7" t="n">
        <v>0.963</v>
      </c>
      <c r="L9" s="7" t="n">
        <v>0.251</v>
      </c>
      <c r="M9" s="7" t="n">
        <v>0.067</v>
      </c>
      <c r="N9" s="7" t="s">
        <v>28</v>
      </c>
      <c r="O9" s="9" t="n">
        <f aca="false">'Marker Experiment'!F5</f>
        <v>0.671</v>
      </c>
      <c r="P9" s="9" t="n">
        <f aca="false">'Marker Experiment'!F5-'Marker Experiment'!D5</f>
        <v>0.046884</v>
      </c>
      <c r="Q9" s="7" t="s">
        <v>26</v>
      </c>
      <c r="R9" s="9" t="n">
        <f aca="false">'AI Judge Experiment'!H6</f>
        <v>0.781</v>
      </c>
      <c r="S9" s="9" t="n">
        <f aca="false">'AI Judge Experiment'!H6-'AI Judge Experiment'!D6</f>
        <v>-0.0931259999999999</v>
      </c>
    </row>
    <row r="10" customFormat="false" ht="15" hidden="false" customHeight="true" outlineLevel="0" collapsed="false">
      <c r="A10" s="6" t="s">
        <v>29</v>
      </c>
      <c r="B10" s="7" t="n">
        <v>10</v>
      </c>
      <c r="C10" s="7" t="n">
        <v>10</v>
      </c>
      <c r="D10" s="7" t="n">
        <v>0.604</v>
      </c>
      <c r="E10" s="7" t="n">
        <v>0.467</v>
      </c>
      <c r="F10" s="7" t="n">
        <v>0.739</v>
      </c>
      <c r="G10" s="7" t="n">
        <v>0.085</v>
      </c>
      <c r="H10" s="7" t="n">
        <v>0.027</v>
      </c>
      <c r="I10" s="7" t="n">
        <v>0.75</v>
      </c>
      <c r="J10" s="7" t="n">
        <v>0.637</v>
      </c>
      <c r="K10" s="7" t="n">
        <v>0.85</v>
      </c>
      <c r="L10" s="7" t="n">
        <v>0.065</v>
      </c>
      <c r="M10" s="7" t="n">
        <v>0.021</v>
      </c>
      <c r="N10" s="8" t="s">
        <v>22</v>
      </c>
      <c r="O10" s="8" t="s">
        <v>22</v>
      </c>
      <c r="P10" s="8" t="s">
        <v>22</v>
      </c>
      <c r="Q10" s="8" t="s">
        <v>22</v>
      </c>
      <c r="R10" s="8" t="s">
        <v>22</v>
      </c>
      <c r="S10" s="8" t="s">
        <v>22</v>
      </c>
    </row>
    <row r="11" customFormat="false" ht="23.25" hidden="false" customHeight="true" outlineLevel="0" collapsed="false">
      <c r="A11" s="6" t="s">
        <v>30</v>
      </c>
      <c r="B11" s="7" t="n">
        <v>16</v>
      </c>
      <c r="C11" s="7" t="n">
        <v>16</v>
      </c>
      <c r="D11" s="7" t="n">
        <v>0.587</v>
      </c>
      <c r="E11" s="7" t="n">
        <v>0</v>
      </c>
      <c r="F11" s="7" t="n">
        <v>0.879</v>
      </c>
      <c r="G11" s="7" t="n">
        <v>0.293</v>
      </c>
      <c r="H11" s="7" t="n">
        <v>0.073</v>
      </c>
      <c r="I11" s="7" t="n">
        <v>0.677</v>
      </c>
      <c r="J11" s="7" t="n">
        <v>0</v>
      </c>
      <c r="K11" s="7" t="n">
        <v>0.935</v>
      </c>
      <c r="L11" s="7" t="n">
        <v>0.32</v>
      </c>
      <c r="M11" s="7" t="n">
        <v>0.08</v>
      </c>
      <c r="N11" s="8" t="s">
        <v>22</v>
      </c>
      <c r="O11" s="8" t="s">
        <v>22</v>
      </c>
      <c r="P11" s="8" t="s">
        <v>22</v>
      </c>
      <c r="Q11" s="8" t="s">
        <v>22</v>
      </c>
      <c r="R11" s="8" t="s">
        <v>22</v>
      </c>
      <c r="S11" s="8" t="s">
        <v>22</v>
      </c>
    </row>
    <row r="12" customFormat="false" ht="15" hidden="false" customHeight="true" outlineLevel="0" collapsed="false">
      <c r="A12" s="6" t="s">
        <v>31</v>
      </c>
      <c r="B12" s="7" t="n">
        <v>12</v>
      </c>
      <c r="C12" s="7" t="n">
        <v>12</v>
      </c>
      <c r="D12" s="7" t="n">
        <v>0.528</v>
      </c>
      <c r="E12" s="7" t="n">
        <v>0</v>
      </c>
      <c r="F12" s="7" t="n">
        <v>0.876</v>
      </c>
      <c r="G12" s="7" t="n">
        <v>0.259</v>
      </c>
      <c r="H12" s="7" t="n">
        <v>0.075</v>
      </c>
      <c r="I12" s="7" t="n">
        <v>0.648</v>
      </c>
      <c r="J12" s="7" t="n">
        <v>0</v>
      </c>
      <c r="K12" s="7" t="n">
        <v>0.934</v>
      </c>
      <c r="L12" s="7" t="n">
        <v>0.283</v>
      </c>
      <c r="M12" s="7" t="n">
        <v>0.082</v>
      </c>
      <c r="N12" s="7" t="s">
        <v>32</v>
      </c>
      <c r="O12" s="9" t="n">
        <f aca="false">'Marker Experiment'!F7</f>
        <v>0.544</v>
      </c>
      <c r="P12" s="9" t="n">
        <f aca="false">'Marker Experiment'!F7-'Marker Experiment'!D7</f>
        <v>0.01847</v>
      </c>
      <c r="Q12" s="8" t="s">
        <v>22</v>
      </c>
      <c r="R12" s="8" t="s">
        <v>22</v>
      </c>
      <c r="S12" s="8" t="s">
        <v>22</v>
      </c>
    </row>
    <row r="13" customFormat="false" ht="23.25" hidden="false" customHeight="true" outlineLevel="0" collapsed="false">
      <c r="A13" s="6" t="s">
        <v>33</v>
      </c>
      <c r="B13" s="7" t="n">
        <v>16</v>
      </c>
      <c r="C13" s="7" t="n">
        <v>16</v>
      </c>
      <c r="D13" s="7" t="n">
        <v>0.458</v>
      </c>
      <c r="E13" s="7" t="n">
        <v>0.001</v>
      </c>
      <c r="F13" s="7" t="n">
        <v>0.977</v>
      </c>
      <c r="G13" s="7" t="n">
        <v>0.368</v>
      </c>
      <c r="H13" s="7" t="n">
        <v>0.092</v>
      </c>
      <c r="I13" s="7" t="n">
        <v>0.504</v>
      </c>
      <c r="J13" s="7" t="n">
        <v>0.001</v>
      </c>
      <c r="K13" s="7" t="n">
        <v>0.988</v>
      </c>
      <c r="L13" s="7" t="n">
        <v>0.379</v>
      </c>
      <c r="M13" s="7" t="n">
        <v>0.095</v>
      </c>
      <c r="N13" s="8" t="s">
        <v>22</v>
      </c>
      <c r="O13" s="8" t="s">
        <v>22</v>
      </c>
      <c r="P13" s="8" t="s">
        <v>22</v>
      </c>
      <c r="Q13" s="8" t="s">
        <v>22</v>
      </c>
      <c r="R13" s="8" t="s">
        <v>22</v>
      </c>
      <c r="S13" s="8" t="s">
        <v>22</v>
      </c>
    </row>
    <row r="14" customFormat="false" ht="15" hidden="false" customHeight="true" outlineLevel="0" collapsed="false">
      <c r="A14" s="6" t="s">
        <v>34</v>
      </c>
      <c r="B14" s="7" t="n">
        <v>11</v>
      </c>
      <c r="C14" s="7" t="n">
        <v>11</v>
      </c>
      <c r="D14" s="7" t="n">
        <v>0.429</v>
      </c>
      <c r="E14" s="7" t="n">
        <v>0</v>
      </c>
      <c r="F14" s="7" t="n">
        <v>0.901</v>
      </c>
      <c r="G14" s="7" t="n">
        <v>0.376</v>
      </c>
      <c r="H14" s="7" t="n">
        <v>0.113</v>
      </c>
      <c r="I14" s="7" t="n">
        <v>0.509</v>
      </c>
      <c r="J14" s="7" t="n">
        <v>0</v>
      </c>
      <c r="K14" s="7" t="n">
        <v>0.948</v>
      </c>
      <c r="L14" s="7" t="n">
        <v>0.387</v>
      </c>
      <c r="M14" s="7" t="n">
        <v>0.117</v>
      </c>
      <c r="N14" s="8" t="s">
        <v>22</v>
      </c>
      <c r="O14" s="8" t="s">
        <v>22</v>
      </c>
      <c r="P14" s="8" t="s">
        <v>22</v>
      </c>
      <c r="Q14" s="8" t="s">
        <v>22</v>
      </c>
      <c r="R14" s="8" t="s">
        <v>22</v>
      </c>
      <c r="S14" s="8" t="s">
        <v>22</v>
      </c>
    </row>
    <row r="15" customFormat="false" ht="15" hidden="false" customHeight="true" outlineLevel="0" collapsed="false">
      <c r="A15" s="6" t="s">
        <v>35</v>
      </c>
      <c r="B15" s="7" t="n">
        <v>13</v>
      </c>
      <c r="C15" s="7" t="n">
        <v>13</v>
      </c>
      <c r="D15" s="7" t="n">
        <v>0.414</v>
      </c>
      <c r="E15" s="7" t="n">
        <v>0</v>
      </c>
      <c r="F15" s="7" t="n">
        <v>0.723</v>
      </c>
      <c r="G15" s="7" t="n">
        <v>0.205</v>
      </c>
      <c r="H15" s="7" t="n">
        <v>0.057</v>
      </c>
      <c r="I15" s="7" t="n">
        <v>0.555</v>
      </c>
      <c r="J15" s="7" t="n">
        <v>0</v>
      </c>
      <c r="K15" s="7" t="n">
        <v>0.839</v>
      </c>
      <c r="L15" s="7" t="n">
        <v>0.228</v>
      </c>
      <c r="M15" s="7" t="n">
        <v>0.063</v>
      </c>
      <c r="N15" s="7" t="s">
        <v>26</v>
      </c>
      <c r="O15" s="9" t="n">
        <f aca="false">'Marker Experiment'!F8</f>
        <v>0.517</v>
      </c>
      <c r="P15" s="9" t="n">
        <f aca="false">'Marker Experiment'!F8-'Marker Experiment'!D8</f>
        <v>0.136085</v>
      </c>
      <c r="Q15" s="8" t="s">
        <v>22</v>
      </c>
      <c r="R15" s="8" t="s">
        <v>22</v>
      </c>
      <c r="S15" s="8" t="s">
        <v>22</v>
      </c>
    </row>
    <row r="16" customFormat="false" ht="15" hidden="false" customHeight="true" outlineLevel="0" collapsed="false">
      <c r="A16" s="6" t="s">
        <v>36</v>
      </c>
      <c r="B16" s="7" t="n">
        <v>13</v>
      </c>
      <c r="C16" s="7" t="n">
        <v>13</v>
      </c>
      <c r="D16" s="7" t="n">
        <v>0.371</v>
      </c>
      <c r="E16" s="7" t="n">
        <v>0</v>
      </c>
      <c r="F16" s="7" t="n">
        <v>0.855</v>
      </c>
      <c r="G16" s="7" t="n">
        <v>0.33</v>
      </c>
      <c r="H16" s="7" t="n">
        <v>0.092</v>
      </c>
      <c r="I16" s="7" t="n">
        <v>0.46</v>
      </c>
      <c r="J16" s="7" t="n">
        <v>0</v>
      </c>
      <c r="K16" s="7" t="n">
        <v>0.922</v>
      </c>
      <c r="L16" s="7" t="n">
        <v>0.373</v>
      </c>
      <c r="M16" s="7" t="n">
        <v>0.103</v>
      </c>
      <c r="N16" s="8" t="s">
        <v>22</v>
      </c>
      <c r="O16" s="8" t="s">
        <v>22</v>
      </c>
      <c r="P16" s="8" t="s">
        <v>22</v>
      </c>
      <c r="Q16" s="7" t="s">
        <v>37</v>
      </c>
      <c r="R16" s="9" t="n">
        <f aca="false">'AI Judge Experiment'!H7</f>
        <v>0.751</v>
      </c>
      <c r="S16" s="9" t="n">
        <f aca="false">'AI Judge Experiment'!H7-'AI Judge Experiment'!D7</f>
        <v>0.315127</v>
      </c>
    </row>
    <row r="17" customFormat="false" ht="23.25" hidden="false" customHeight="true" outlineLevel="0" collapsed="false">
      <c r="A17" s="6" t="s">
        <v>38</v>
      </c>
      <c r="B17" s="7" t="n">
        <v>16</v>
      </c>
      <c r="C17" s="7" t="n">
        <v>16</v>
      </c>
      <c r="D17" s="7" t="n">
        <v>0.338</v>
      </c>
      <c r="E17" s="7" t="n">
        <v>0</v>
      </c>
      <c r="F17" s="7" t="n">
        <v>0.805</v>
      </c>
      <c r="G17" s="7" t="n">
        <v>0.235</v>
      </c>
      <c r="H17" s="7" t="n">
        <v>0.059</v>
      </c>
      <c r="I17" s="7" t="n">
        <v>0.446</v>
      </c>
      <c r="J17" s="7" t="n">
        <v>0</v>
      </c>
      <c r="K17" s="7" t="n">
        <v>0.892</v>
      </c>
      <c r="L17" s="7" t="n">
        <v>0.275</v>
      </c>
      <c r="M17" s="7" t="n">
        <v>0.069</v>
      </c>
      <c r="N17" s="7" t="s">
        <v>39</v>
      </c>
      <c r="O17" s="9" t="n">
        <f aca="false">'Marker Experiment'!F9</f>
        <v>0.747</v>
      </c>
      <c r="P17" s="9" t="n">
        <f aca="false">'Marker Experiment'!F9-'Marker Experiment'!D9</f>
        <v>0.337</v>
      </c>
      <c r="Q17" s="8" t="s">
        <v>22</v>
      </c>
      <c r="R17" s="8" t="s">
        <v>22</v>
      </c>
      <c r="S17" s="8" t="s">
        <v>22</v>
      </c>
    </row>
    <row r="18" customFormat="false" ht="15" hidden="false" customHeight="true" outlineLevel="0" collapsed="false">
      <c r="A18" s="6" t="s">
        <v>40</v>
      </c>
      <c r="B18" s="7" t="n">
        <v>12</v>
      </c>
      <c r="C18" s="7" t="n">
        <v>12</v>
      </c>
      <c r="D18" s="7" t="n">
        <v>0.226</v>
      </c>
      <c r="E18" s="7" t="n">
        <v>0.007</v>
      </c>
      <c r="F18" s="7" t="n">
        <v>0.624</v>
      </c>
      <c r="G18" s="7" t="n">
        <v>0.228</v>
      </c>
      <c r="H18" s="7" t="n">
        <v>0.066</v>
      </c>
      <c r="I18" s="7" t="n">
        <v>0.32</v>
      </c>
      <c r="J18" s="7" t="n">
        <v>0.014</v>
      </c>
      <c r="K18" s="7" t="n">
        <v>0.768</v>
      </c>
      <c r="L18" s="7" t="n">
        <v>0.285</v>
      </c>
      <c r="M18" s="7" t="n">
        <v>0.082</v>
      </c>
      <c r="N18" s="8" t="s">
        <v>22</v>
      </c>
      <c r="O18" s="8" t="s">
        <v>22</v>
      </c>
      <c r="P18" s="8" t="s">
        <v>22</v>
      </c>
      <c r="Q18" s="8" t="s">
        <v>22</v>
      </c>
      <c r="R18" s="8" t="s">
        <v>22</v>
      </c>
      <c r="S18" s="8" t="s">
        <v>22</v>
      </c>
    </row>
    <row r="19" customFormat="false" ht="15" hidden="false" customHeight="true" outlineLevel="0" collapsed="false">
      <c r="A19" s="6" t="s">
        <v>41</v>
      </c>
      <c r="B19" s="7" t="n">
        <v>10</v>
      </c>
      <c r="C19" s="7" t="n">
        <v>10</v>
      </c>
      <c r="D19" s="7" t="n">
        <v>0.156</v>
      </c>
      <c r="E19" s="7" t="n">
        <v>0</v>
      </c>
      <c r="F19" s="7" t="n">
        <v>0.615</v>
      </c>
      <c r="G19" s="7" t="n">
        <v>0.198</v>
      </c>
      <c r="H19" s="7" t="n">
        <v>0.063</v>
      </c>
      <c r="I19" s="7" t="n">
        <v>0.231</v>
      </c>
      <c r="J19" s="7" t="n">
        <v>0</v>
      </c>
      <c r="K19" s="7" t="n">
        <v>0.761</v>
      </c>
      <c r="L19" s="7" t="n">
        <v>0.259</v>
      </c>
      <c r="M19" s="7" t="n">
        <v>0.082</v>
      </c>
      <c r="N19" s="8" t="s">
        <v>22</v>
      </c>
      <c r="O19" s="8" t="s">
        <v>22</v>
      </c>
      <c r="P19" s="8" t="s">
        <v>22</v>
      </c>
      <c r="Q19" s="8" t="s">
        <v>22</v>
      </c>
      <c r="R19" s="8" t="s">
        <v>22</v>
      </c>
      <c r="S19" s="8" t="s">
        <v>22</v>
      </c>
    </row>
    <row r="21" customFormat="false" ht="45" hidden="false" customHeight="true" outlineLevel="0" collapsed="false">
      <c r="A21" s="3" t="s">
        <v>42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3" customFormat="false" ht="45" hidden="false" customHeight="true" outlineLevel="0" collapsed="false">
      <c r="A23" s="3" t="s">
        <v>43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4">
    <mergeCell ref="A1:N1"/>
    <mergeCell ref="A2:N2"/>
    <mergeCell ref="A21:S21"/>
    <mergeCell ref="A23:S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70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45</v>
      </c>
      <c r="B2" s="3"/>
      <c r="C2" s="3"/>
      <c r="D2" s="3"/>
      <c r="E2" s="3"/>
      <c r="F2" s="3"/>
    </row>
    <row r="4" customFormat="false" ht="26.25" hidden="false" customHeight="true" outlineLevel="0" collapsed="false">
      <c r="A4" s="10" t="s">
        <v>46</v>
      </c>
      <c r="B4" s="10" t="s">
        <v>47</v>
      </c>
      <c r="C4" s="10" t="s">
        <v>48</v>
      </c>
      <c r="D4" s="10" t="s">
        <v>49</v>
      </c>
    </row>
    <row r="5" customFormat="false" ht="30" hidden="false" customHeight="true" outlineLevel="0" collapsed="false">
      <c r="A5" s="11" t="s">
        <v>50</v>
      </c>
      <c r="B5" s="12" t="n">
        <v>6</v>
      </c>
      <c r="C5" s="12" t="s">
        <v>51</v>
      </c>
      <c r="D5" s="11" t="s">
        <v>52</v>
      </c>
    </row>
    <row r="6" customFormat="false" ht="45" hidden="false" customHeight="true" outlineLevel="0" collapsed="false">
      <c r="A6" s="11" t="s">
        <v>53</v>
      </c>
      <c r="B6" s="12" t="n">
        <v>4</v>
      </c>
      <c r="C6" s="12" t="s">
        <v>54</v>
      </c>
      <c r="D6" s="11" t="s">
        <v>55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6"/>
    <col collapsed="false" customWidth="true" hidden="false" outlineLevel="0" max="7" min="4" style="1" width="12"/>
    <col collapsed="false" customWidth="true" hidden="false" outlineLevel="0" max="8" min="8" style="1" width="10"/>
  </cols>
  <sheetData>
    <row r="1" customFormat="false" ht="17.25" hidden="false" customHeight="true" outlineLevel="0" collapsed="false">
      <c r="A1" s="2" t="s">
        <v>56</v>
      </c>
      <c r="B1" s="2"/>
      <c r="C1" s="2"/>
      <c r="D1" s="2"/>
      <c r="E1" s="2"/>
      <c r="F1" s="2"/>
      <c r="G1" s="2"/>
      <c r="H1" s="2"/>
    </row>
    <row r="3" customFormat="false" ht="26.25" hidden="false" customHeight="true" outlineLevel="0" collapsed="false">
      <c r="A3" s="10" t="s">
        <v>2</v>
      </c>
      <c r="B3" s="10" t="s">
        <v>57</v>
      </c>
      <c r="C3" s="10" t="s">
        <v>58</v>
      </c>
      <c r="D3" s="10" t="s">
        <v>59</v>
      </c>
      <c r="E3" s="10" t="s">
        <v>60</v>
      </c>
      <c r="F3" s="10" t="s">
        <v>61</v>
      </c>
      <c r="G3" s="10" t="s">
        <v>62</v>
      </c>
      <c r="H3" s="10" t="s">
        <v>63</v>
      </c>
    </row>
    <row r="4" customFormat="false" ht="26.25" hidden="false" customHeight="true" outlineLevel="0" collapsed="false">
      <c r="A4" s="11" t="s">
        <v>25</v>
      </c>
      <c r="B4" s="11" t="s">
        <v>28</v>
      </c>
      <c r="C4" s="11" t="s">
        <v>64</v>
      </c>
      <c r="D4" s="13" t="n">
        <v>0.395505</v>
      </c>
      <c r="E4" s="13" t="n">
        <v>0.566827</v>
      </c>
      <c r="F4" s="13" t="n">
        <v>0.473</v>
      </c>
      <c r="G4" s="12" t="s">
        <v>65</v>
      </c>
      <c r="H4" s="13" t="n">
        <f aca="false">F4-D4</f>
        <v>0.077495</v>
      </c>
    </row>
    <row r="5" customFormat="false" ht="26.25" hidden="false" customHeight="true" outlineLevel="0" collapsed="false">
      <c r="A5" s="11" t="s">
        <v>27</v>
      </c>
      <c r="B5" s="11" t="s">
        <v>28</v>
      </c>
      <c r="C5" s="11" t="s">
        <v>64</v>
      </c>
      <c r="D5" s="13" t="n">
        <v>0.624116</v>
      </c>
      <c r="E5" s="13" t="n">
        <v>0.768561</v>
      </c>
      <c r="F5" s="13" t="n">
        <v>0.671</v>
      </c>
      <c r="G5" s="12" t="s">
        <v>65</v>
      </c>
      <c r="H5" s="13" t="n">
        <f aca="false">F5-D5</f>
        <v>0.046884</v>
      </c>
    </row>
    <row r="6" customFormat="false" ht="26.25" hidden="false" customHeight="true" outlineLevel="0" collapsed="false">
      <c r="A6" s="11" t="s">
        <v>25</v>
      </c>
      <c r="B6" s="11" t="s">
        <v>26</v>
      </c>
      <c r="C6" s="11" t="s">
        <v>64</v>
      </c>
      <c r="D6" s="13" t="n">
        <v>0.688984</v>
      </c>
      <c r="E6" s="13" t="n">
        <v>0.815856</v>
      </c>
      <c r="F6" s="13" t="n">
        <v>0.819</v>
      </c>
      <c r="G6" s="12" t="s">
        <v>65</v>
      </c>
      <c r="H6" s="13" t="n">
        <f aca="false">F6-D6</f>
        <v>0.130016</v>
      </c>
    </row>
    <row r="7" customFormat="false" ht="15" hidden="false" customHeight="true" outlineLevel="0" collapsed="false">
      <c r="A7" s="11" t="s">
        <v>31</v>
      </c>
      <c r="B7" s="11" t="s">
        <v>32</v>
      </c>
      <c r="C7" s="11" t="s">
        <v>66</v>
      </c>
      <c r="D7" s="13" t="n">
        <v>0.52553</v>
      </c>
      <c r="E7" s="13" t="n">
        <v>0.68898</v>
      </c>
      <c r="F7" s="13" t="n">
        <v>0.544</v>
      </c>
      <c r="G7" s="13" t="n">
        <v>0.705</v>
      </c>
      <c r="H7" s="13" t="n">
        <f aca="false">F7-D7</f>
        <v>0.01847</v>
      </c>
    </row>
    <row r="8" customFormat="false" ht="15" hidden="false" customHeight="true" outlineLevel="0" collapsed="false">
      <c r="A8" s="11" t="s">
        <v>35</v>
      </c>
      <c r="B8" s="11" t="s">
        <v>26</v>
      </c>
      <c r="C8" s="11" t="s">
        <v>64</v>
      </c>
      <c r="D8" s="13" t="n">
        <v>0.380915</v>
      </c>
      <c r="E8" s="13" t="n">
        <v>0.551685</v>
      </c>
      <c r="F8" s="13" t="n">
        <v>0.517</v>
      </c>
      <c r="G8" s="13" t="n">
        <v>0.681</v>
      </c>
      <c r="H8" s="13" t="n">
        <f aca="false">F8-D8</f>
        <v>0.136085</v>
      </c>
    </row>
    <row r="9" customFormat="false" ht="15" hidden="false" customHeight="false" outlineLevel="0" collapsed="false">
      <c r="A9" s="14" t="s">
        <v>38</v>
      </c>
      <c r="B9" s="14" t="s">
        <v>39</v>
      </c>
      <c r="C9" s="14" t="s">
        <v>67</v>
      </c>
      <c r="D9" s="15" t="n">
        <v>0.41</v>
      </c>
      <c r="E9" s="15" t="n">
        <v>0.582</v>
      </c>
      <c r="F9" s="15" t="n">
        <v>0.747</v>
      </c>
      <c r="G9" s="15" t="n">
        <v>0.856</v>
      </c>
      <c r="H9" s="15" t="n">
        <f aca="false">F9-D9</f>
        <v>0.337</v>
      </c>
    </row>
    <row r="10" customFormat="false" ht="30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</row>
    <row r="11" customFormat="false" ht="45" hidden="false" customHeight="true" outlineLevel="0" collapsed="false">
      <c r="A11" s="3" t="s">
        <v>68</v>
      </c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17" t="s">
        <v>69</v>
      </c>
    </row>
  </sheetData>
  <mergeCells count="3">
    <mergeCell ref="A1:H1"/>
    <mergeCell ref="A10:H10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5" min="3" style="1" width="12"/>
    <col collapsed="false" customWidth="true" hidden="false" outlineLevel="0" max="7" min="6" style="1" width="14"/>
    <col collapsed="false" customWidth="true" hidden="false" outlineLevel="0" max="10" min="8" style="1" width="12"/>
  </cols>
  <sheetData>
    <row r="1" customFormat="false" ht="17.25" hidden="false" customHeight="true" outlineLevel="0" collapsed="false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31.5" hidden="false" customHeight="true" outlineLevel="0" collapsed="false">
      <c r="A3" s="10" t="s">
        <v>2</v>
      </c>
      <c r="B3" s="10" t="s">
        <v>57</v>
      </c>
      <c r="C3" s="10" t="s">
        <v>71</v>
      </c>
      <c r="D3" s="10" t="s">
        <v>72</v>
      </c>
      <c r="E3" s="10" t="s">
        <v>73</v>
      </c>
      <c r="F3" s="10" t="s">
        <v>74</v>
      </c>
      <c r="G3" s="10" t="s">
        <v>75</v>
      </c>
      <c r="H3" s="10" t="s">
        <v>76</v>
      </c>
      <c r="I3" s="10" t="s">
        <v>77</v>
      </c>
      <c r="J3" s="10" t="s">
        <v>78</v>
      </c>
    </row>
    <row r="4" customFormat="false" ht="26.25" hidden="false" customHeight="true" outlineLevel="0" collapsed="false">
      <c r="A4" s="11" t="s">
        <v>25</v>
      </c>
      <c r="B4" s="11" t="s">
        <v>28</v>
      </c>
      <c r="C4" s="12" t="s">
        <v>64</v>
      </c>
      <c r="D4" s="13" t="n">
        <v>0.395505</v>
      </c>
      <c r="E4" s="13" t="n">
        <v>0.566827</v>
      </c>
      <c r="F4" s="13" t="n">
        <v>0.778221</v>
      </c>
      <c r="G4" s="11" t="s">
        <v>79</v>
      </c>
      <c r="H4" s="13" t="n">
        <v>0.446</v>
      </c>
      <c r="I4" s="12" t="s">
        <v>65</v>
      </c>
      <c r="J4" s="13" t="n">
        <f aca="false">H4-D4</f>
        <v>0.050495</v>
      </c>
    </row>
    <row r="5" customFormat="false" ht="26.25" hidden="false" customHeight="true" outlineLevel="0" collapsed="false">
      <c r="A5" s="11" t="s">
        <v>25</v>
      </c>
      <c r="B5" s="11" t="s">
        <v>26</v>
      </c>
      <c r="C5" s="12" t="s">
        <v>64</v>
      </c>
      <c r="D5" s="13" t="n">
        <v>0.688984</v>
      </c>
      <c r="E5" s="13" t="n">
        <v>0.815856</v>
      </c>
      <c r="F5" s="13" t="n">
        <v>0.821505</v>
      </c>
      <c r="G5" s="11" t="s">
        <v>79</v>
      </c>
      <c r="H5" s="13" t="n">
        <v>0.735</v>
      </c>
      <c r="I5" s="12" t="s">
        <v>65</v>
      </c>
      <c r="J5" s="13" t="n">
        <f aca="false">H5-D5</f>
        <v>0.0460159999999999</v>
      </c>
    </row>
    <row r="6" customFormat="false" ht="15" hidden="false" customHeight="true" outlineLevel="0" collapsed="false">
      <c r="A6" s="11" t="s">
        <v>27</v>
      </c>
      <c r="B6" s="11" t="s">
        <v>26</v>
      </c>
      <c r="C6" s="12" t="s">
        <v>64</v>
      </c>
      <c r="D6" s="13" t="n">
        <v>0.874126</v>
      </c>
      <c r="E6" s="13" t="n">
        <v>0.932836</v>
      </c>
      <c r="F6" s="13" t="n">
        <v>0.929305</v>
      </c>
      <c r="G6" s="11" t="s">
        <v>80</v>
      </c>
      <c r="H6" s="13" t="n">
        <v>0.781</v>
      </c>
      <c r="I6" s="13" t="n">
        <v>0.877</v>
      </c>
      <c r="J6" s="13" t="n">
        <f aca="false">H6-D6</f>
        <v>-0.0931259999999999</v>
      </c>
    </row>
    <row r="7" customFormat="false" ht="15" hidden="false" customHeight="true" outlineLevel="0" collapsed="false">
      <c r="A7" s="11" t="s">
        <v>36</v>
      </c>
      <c r="B7" s="11" t="s">
        <v>37</v>
      </c>
      <c r="C7" s="12" t="s">
        <v>64</v>
      </c>
      <c r="D7" s="13" t="n">
        <v>0.435873</v>
      </c>
      <c r="E7" s="13" t="n">
        <v>0.607119</v>
      </c>
      <c r="F7" s="13" t="n">
        <v>0.554169</v>
      </c>
      <c r="G7" s="11" t="s">
        <v>80</v>
      </c>
      <c r="H7" s="13" t="n">
        <v>0.751</v>
      </c>
      <c r="I7" s="13" t="n">
        <v>0.858</v>
      </c>
      <c r="J7" s="13" t="n">
        <f aca="false">H7-D7</f>
        <v>0.315127</v>
      </c>
    </row>
    <row r="9" customFormat="false" ht="15" hidden="false" customHeight="true" outlineLevel="0" collapsed="false">
      <c r="A9" s="18" t="s">
        <v>81</v>
      </c>
    </row>
    <row r="10" customFormat="false" ht="30" hidden="false" customHeight="true" outlineLevel="0" collapsed="false">
      <c r="A10" s="19" t="s">
        <v>82</v>
      </c>
      <c r="B10" s="3" t="s">
        <v>83</v>
      </c>
      <c r="C10" s="3"/>
      <c r="D10" s="3"/>
      <c r="E10" s="3"/>
      <c r="F10" s="3"/>
      <c r="G10" s="3"/>
      <c r="H10" s="3"/>
      <c r="I10" s="3"/>
      <c r="J10" s="3"/>
    </row>
    <row r="11" customFormat="false" ht="30" hidden="false" customHeight="true" outlineLevel="0" collapsed="false">
      <c r="A11" s="19" t="s">
        <v>84</v>
      </c>
      <c r="B11" s="3" t="s">
        <v>85</v>
      </c>
      <c r="C11" s="3"/>
      <c r="D11" s="3"/>
      <c r="E11" s="3"/>
      <c r="F11" s="3"/>
      <c r="G11" s="3"/>
      <c r="H11" s="3"/>
      <c r="I11" s="3"/>
      <c r="J11" s="3"/>
    </row>
    <row r="12" customFormat="false" ht="30" hidden="false" customHeight="true" outlineLevel="0" collapsed="false">
      <c r="A12" s="19" t="s">
        <v>86</v>
      </c>
      <c r="B12" s="3" t="s">
        <v>87</v>
      </c>
      <c r="C12" s="3"/>
      <c r="D12" s="3"/>
      <c r="E12" s="3"/>
      <c r="F12" s="3"/>
      <c r="G12" s="3"/>
      <c r="H12" s="3"/>
      <c r="I12" s="3"/>
      <c r="J12" s="3"/>
    </row>
    <row r="13" customFormat="false" ht="30" hidden="false" customHeight="true" outlineLevel="0" collapsed="false">
      <c r="A13" s="19" t="s">
        <v>88</v>
      </c>
      <c r="B13" s="3" t="s">
        <v>89</v>
      </c>
      <c r="C13" s="3"/>
      <c r="D13" s="3"/>
      <c r="E13" s="3"/>
      <c r="F13" s="3"/>
      <c r="G13" s="3"/>
      <c r="H13" s="3"/>
      <c r="I13" s="3"/>
      <c r="J13" s="3"/>
    </row>
    <row r="15" customFormat="false" ht="45" hidden="false" customHeight="true" outlineLevel="0" collapsed="false">
      <c r="A15" s="3" t="s">
        <v>90</v>
      </c>
      <c r="B15" s="3"/>
      <c r="C15" s="3"/>
      <c r="D15" s="3"/>
      <c r="E15" s="3"/>
      <c r="F15" s="3"/>
      <c r="G15" s="3"/>
      <c r="H15" s="3"/>
      <c r="I15" s="3"/>
      <c r="J15" s="3"/>
    </row>
  </sheetData>
  <mergeCells count="6">
    <mergeCell ref="A1:J1"/>
    <mergeCell ref="B10:J10"/>
    <mergeCell ref="B11:J11"/>
    <mergeCell ref="B12:J12"/>
    <mergeCell ref="B13:J13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2026-07-23T15:05:33Z</dcterms:created>
  <dc:creator>openpyxl</dc:creator>
  <dc:description/>
  <dc:language>en-US</dc:language>
  <cp:lastModifiedBy/>
  <dcterms:modified xsi:type="dcterms:W3CDTF">2026-07-23T16:41:55Z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